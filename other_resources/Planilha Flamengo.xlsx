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digicorner-my.sharepoint.com/personal/higor_velloso_technipfmc_com/Documents/Projetos Dados/Dashboard Flamengo/"/>
    </mc:Choice>
  </mc:AlternateContent>
  <xr:revisionPtr revIDLastSave="32" documentId="8_{741E665D-BE45-43DA-989E-E8FFE16AED6F}" xr6:coauthVersionLast="47" xr6:coauthVersionMax="47" xr10:uidLastSave="{7DB9613E-04E8-4726-B2C1-145D620CA273}"/>
  <bookViews>
    <workbookView xWindow="38280" yWindow="-120" windowWidth="38640" windowHeight="15840" xr2:uid="{ACA497DB-3BA2-4C45-9DC2-6ECD834D1FA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1" l="1"/>
  <c r="F15" i="1"/>
  <c r="E16" i="1"/>
  <c r="F16" i="1"/>
  <c r="E17" i="1"/>
  <c r="F17" i="1"/>
  <c r="E18" i="1"/>
  <c r="F18" i="1"/>
  <c r="E19" i="1"/>
  <c r="F19" i="1"/>
  <c r="E20" i="1"/>
  <c r="F20" i="1"/>
  <c r="E21" i="1"/>
  <c r="F21" i="1"/>
  <c r="E22" i="1"/>
  <c r="F22" i="1"/>
  <c r="E23" i="1"/>
  <c r="F23" i="1"/>
  <c r="E24" i="1"/>
  <c r="F24" i="1"/>
  <c r="F5" i="1"/>
  <c r="F6" i="1"/>
  <c r="F7" i="1"/>
  <c r="F8" i="1"/>
  <c r="F9" i="1"/>
  <c r="F10" i="1"/>
  <c r="F11" i="1"/>
  <c r="F12" i="1"/>
  <c r="F13" i="1"/>
  <c r="F14" i="1"/>
  <c r="F4" i="1"/>
  <c r="E5" i="1"/>
  <c r="E6" i="1"/>
  <c r="E7" i="1"/>
  <c r="E8" i="1"/>
  <c r="E9" i="1"/>
  <c r="E10" i="1"/>
  <c r="E11" i="1"/>
  <c r="E12" i="1"/>
  <c r="E13" i="1"/>
  <c r="E14" i="1"/>
  <c r="E4" i="1"/>
  <c r="H24" i="1" l="1"/>
  <c r="O24" i="1" s="1"/>
  <c r="G24" i="1"/>
  <c r="I24" i="1" s="1"/>
  <c r="J24" i="1" s="1"/>
  <c r="H23" i="1"/>
  <c r="N23" i="1" s="1"/>
  <c r="G23" i="1"/>
  <c r="I23" i="1" s="1"/>
  <c r="J23" i="1" s="1"/>
  <c r="H22" i="1"/>
  <c r="U22" i="1" s="1"/>
  <c r="G22" i="1"/>
  <c r="I22" i="1" s="1"/>
  <c r="J22" i="1" s="1"/>
  <c r="G4" i="1"/>
  <c r="H4" i="1"/>
  <c r="G14" i="1"/>
  <c r="I14" i="1" s="1"/>
  <c r="J14" i="1" s="1"/>
  <c r="H14" i="1"/>
  <c r="G13" i="1"/>
  <c r="I13" i="1" s="1"/>
  <c r="J13" i="1" s="1"/>
  <c r="H13" i="1"/>
  <c r="H21" i="1"/>
  <c r="T21" i="1" s="1"/>
  <c r="G21" i="1"/>
  <c r="I21" i="1" s="1"/>
  <c r="J21" i="1" s="1"/>
  <c r="G12" i="1"/>
  <c r="I12" i="1" s="1"/>
  <c r="J12" i="1" s="1"/>
  <c r="H12" i="1"/>
  <c r="G11" i="1"/>
  <c r="I11" i="1" s="1"/>
  <c r="J11" i="1" s="1"/>
  <c r="H11" i="1"/>
  <c r="H20" i="1"/>
  <c r="P20" i="1" s="1"/>
  <c r="G20" i="1"/>
  <c r="I20" i="1" s="1"/>
  <c r="J20" i="1" s="1"/>
  <c r="H10" i="1"/>
  <c r="G10" i="1"/>
  <c r="I10" i="1" s="1"/>
  <c r="J10" i="1" s="1"/>
  <c r="G9" i="1"/>
  <c r="I9" i="1" s="1"/>
  <c r="J9" i="1" s="1"/>
  <c r="H9" i="1"/>
  <c r="N9" i="1" s="1"/>
  <c r="H19" i="1"/>
  <c r="G19" i="1"/>
  <c r="I19" i="1" s="1"/>
  <c r="J19" i="1" s="1"/>
  <c r="G8" i="1"/>
  <c r="I8" i="1" s="1"/>
  <c r="J8" i="1" s="1"/>
  <c r="H8" i="1"/>
  <c r="G7" i="1"/>
  <c r="I7" i="1" s="1"/>
  <c r="J7" i="1" s="1"/>
  <c r="H7" i="1"/>
  <c r="H18" i="1"/>
  <c r="N18" i="1" s="1"/>
  <c r="G18" i="1"/>
  <c r="G6" i="1"/>
  <c r="H6" i="1"/>
  <c r="G5" i="1"/>
  <c r="H5" i="1"/>
  <c r="H17" i="1"/>
  <c r="N17" i="1" s="1"/>
  <c r="G17" i="1"/>
  <c r="G16" i="1"/>
  <c r="I16" i="1" s="1"/>
  <c r="J16" i="1" s="1"/>
  <c r="H16" i="1"/>
  <c r="S16" i="1" s="1"/>
  <c r="G15" i="1"/>
  <c r="I15" i="1" s="1"/>
  <c r="J15" i="1" s="1"/>
  <c r="H15" i="1"/>
  <c r="N21" i="1"/>
  <c r="O22" i="1"/>
  <c r="I17" i="1"/>
  <c r="J17" i="1" s="1"/>
  <c r="I6" i="1"/>
  <c r="J6" i="1" s="1"/>
  <c r="I5" i="1"/>
  <c r="J5" i="1" s="1"/>
  <c r="I18" i="1"/>
  <c r="J18" i="1" s="1"/>
  <c r="I4" i="1"/>
  <c r="J4" i="1" s="1"/>
  <c r="O21" i="1" l="1"/>
  <c r="P18" i="1"/>
  <c r="T18" i="1"/>
  <c r="T23" i="1"/>
  <c r="T24" i="1"/>
  <c r="O18" i="1"/>
  <c r="N24" i="1"/>
  <c r="U21" i="1"/>
  <c r="S20" i="1"/>
  <c r="P24" i="1"/>
  <c r="Q24" i="1" s="1"/>
  <c r="S24" i="1"/>
  <c r="U23" i="1"/>
  <c r="P23" i="1"/>
  <c r="S21" i="1"/>
  <c r="V21" i="1" s="1"/>
  <c r="S22" i="1"/>
  <c r="U24" i="1"/>
  <c r="O23" i="1"/>
  <c r="S23" i="1"/>
  <c r="V23" i="1" s="1"/>
  <c r="U18" i="1"/>
  <c r="P21" i="1"/>
  <c r="S18" i="1"/>
  <c r="Q18" i="1"/>
  <c r="Q21" i="1"/>
  <c r="N22" i="1"/>
  <c r="T22" i="1"/>
  <c r="V22" i="1" s="1"/>
  <c r="P22" i="1"/>
  <c r="Q22" i="1" s="1"/>
  <c r="Q23" i="1"/>
  <c r="N20" i="1"/>
  <c r="U20" i="1"/>
  <c r="T20" i="1"/>
  <c r="O20" i="1"/>
  <c r="S19" i="1"/>
  <c r="P19" i="1"/>
  <c r="U19" i="1"/>
  <c r="T19" i="1"/>
  <c r="U16" i="1"/>
  <c r="P16" i="1"/>
  <c r="P17" i="1"/>
  <c r="U17" i="1"/>
  <c r="O17" i="1"/>
  <c r="T17" i="1"/>
  <c r="S17" i="1"/>
  <c r="O16" i="1"/>
  <c r="T16" i="1"/>
  <c r="N16" i="1"/>
  <c r="O9" i="1"/>
  <c r="U9" i="1"/>
  <c r="T9" i="1"/>
  <c r="S9" i="1"/>
  <c r="P10" i="1"/>
  <c r="T10" i="1"/>
  <c r="S10" i="1"/>
  <c r="U10" i="1"/>
  <c r="S7" i="1"/>
  <c r="U7" i="1"/>
  <c r="T7" i="1"/>
  <c r="P7" i="1"/>
  <c r="S6" i="1"/>
  <c r="U6" i="1"/>
  <c r="T6" i="1"/>
  <c r="P6" i="1"/>
  <c r="P13" i="1"/>
  <c r="T13" i="1"/>
  <c r="U13" i="1"/>
  <c r="S13" i="1"/>
  <c r="P11" i="1"/>
  <c r="T11" i="1"/>
  <c r="U11" i="1"/>
  <c r="S11" i="1"/>
  <c r="P8" i="1"/>
  <c r="S8" i="1"/>
  <c r="T8" i="1"/>
  <c r="U8" i="1"/>
  <c r="T4" i="1"/>
  <c r="U4" i="1"/>
  <c r="P4" i="1"/>
  <c r="S4" i="1"/>
  <c r="S5" i="1"/>
  <c r="T5" i="1"/>
  <c r="U5" i="1"/>
  <c r="P5" i="1"/>
  <c r="P14" i="1"/>
  <c r="S14" i="1"/>
  <c r="T14" i="1"/>
  <c r="U14" i="1"/>
  <c r="P12" i="1"/>
  <c r="T12" i="1"/>
  <c r="U12" i="1"/>
  <c r="S12" i="1"/>
  <c r="P15" i="1"/>
  <c r="S15" i="1"/>
  <c r="T15" i="1"/>
  <c r="U15" i="1"/>
  <c r="P9" i="1"/>
  <c r="N12" i="1"/>
  <c r="O12" i="1"/>
  <c r="N13" i="1"/>
  <c r="O13" i="1"/>
  <c r="N14" i="1"/>
  <c r="O14" i="1"/>
  <c r="O11" i="1"/>
  <c r="N11" i="1"/>
  <c r="O19" i="1"/>
  <c r="N19" i="1"/>
  <c r="O6" i="1"/>
  <c r="N6" i="1"/>
  <c r="N4" i="1"/>
  <c r="O4" i="1"/>
  <c r="O15" i="1"/>
  <c r="N15" i="1"/>
  <c r="O7" i="1"/>
  <c r="N7" i="1"/>
  <c r="O8" i="1"/>
  <c r="N8" i="1"/>
  <c r="O5" i="1"/>
  <c r="N5" i="1"/>
  <c r="O10" i="1"/>
  <c r="N10" i="1"/>
  <c r="V18" i="1" l="1"/>
  <c r="V20" i="1"/>
  <c r="V24" i="1"/>
  <c r="V17" i="1"/>
  <c r="Q20" i="1"/>
  <c r="V12" i="1"/>
  <c r="Q16" i="1"/>
  <c r="V16" i="1"/>
  <c r="Q17" i="1"/>
  <c r="Q19" i="1"/>
  <c r="V19" i="1"/>
  <c r="Q7" i="1"/>
  <c r="V9" i="1"/>
  <c r="Q5" i="1"/>
  <c r="Q9" i="1"/>
  <c r="Q11" i="1"/>
  <c r="Q12" i="1"/>
  <c r="V4" i="1"/>
  <c r="V10" i="1"/>
  <c r="Q6" i="1"/>
  <c r="Q14" i="1"/>
  <c r="Q13" i="1"/>
  <c r="V8" i="1"/>
  <c r="V11" i="1"/>
  <c r="V5" i="1"/>
  <c r="V13" i="1"/>
  <c r="Q10" i="1"/>
  <c r="V15" i="1"/>
  <c r="Q8" i="1"/>
  <c r="V6" i="1"/>
  <c r="Q15" i="1"/>
  <c r="V14" i="1"/>
  <c r="V7" i="1"/>
  <c r="Q4" i="1"/>
  <c r="AA5" i="1" l="1"/>
  <c r="AA4" i="1"/>
  <c r="AA7" i="1" l="1"/>
</calcChain>
</file>

<file path=xl/sharedStrings.xml><?xml version="1.0" encoding="utf-8"?>
<sst xmlns="http://schemas.openxmlformats.org/spreadsheetml/2006/main" count="19" uniqueCount="17">
  <si>
    <t>B10</t>
  </si>
  <si>
    <t>Simões</t>
  </si>
  <si>
    <t>Geral</t>
  </si>
  <si>
    <t>Ayrton Lucas 7.5/7.5</t>
  </si>
  <si>
    <t>Rossi 6/6</t>
  </si>
  <si>
    <t>CAR</t>
  </si>
  <si>
    <t>Flamengo x Boavista</t>
  </si>
  <si>
    <t>2024-02-20</t>
  </si>
  <si>
    <t>Varela 8/7.5</t>
  </si>
  <si>
    <t>David Luiz 6.5/7</t>
  </si>
  <si>
    <t>Léo Pereira 7/7.5</t>
  </si>
  <si>
    <t>Igor Jesus 8.5/8.5</t>
  </si>
  <si>
    <t>De La Cruz 8/8</t>
  </si>
  <si>
    <t>De Arrascaeta 8.5/8.5</t>
  </si>
  <si>
    <t>Luiz Araujo 8/8</t>
  </si>
  <si>
    <t>Cebolinha 7/7.5</t>
  </si>
  <si>
    <t>Pedro 5/5.5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</si>
</sst>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E975C-D10F-4D1D-9DC4-4F06B7E049F8}">
  <dimension ref="B1:AA24"/>
  <sheetViews>
    <sheetView tabSelected="1" workbookViewId="0">
      <selection activeCell="D23" sqref="D23"/>
    </sheetView>
  </sheetViews>
  <sheetFormatPr defaultRowHeight="14.5" x14ac:dyDescent="0.35"/>
  <cols>
    <col min="5" max="5" width="1.90625" bestFit="1" customWidth="1"/>
    <col min="6" max="7" width="2.81640625" bestFit="1" customWidth="1"/>
    <col min="8" max="8" width="14.453125" bestFit="1" customWidth="1"/>
  </cols>
  <sheetData>
    <row r="1" spans="2:27" x14ac:dyDescent="0.35">
      <c r="B1" s="1" t="s">
        <v>6</v>
      </c>
    </row>
    <row r="2" spans="2:27" x14ac:dyDescent="0.35">
      <c r="B2" s="1" t="s">
        <v>7</v>
      </c>
    </row>
    <row r="3" spans="2:27" x14ac:dyDescent="0.35">
      <c r="B3" s="1" t="s">
        <v>5</v>
      </c>
      <c r="N3" t="s">
        <v>0</v>
      </c>
      <c r="S3" t="s">
        <v>1</v>
      </c>
    </row>
    <row r="4" spans="2:27" x14ac:dyDescent="0.35">
      <c r="B4" s="1" t="s">
        <v>4</v>
      </c>
      <c r="E4" s="1">
        <f t="shared" ref="E4:E24" si="0">LEN(B4)-LEN(SUBSTITUTE(B4," ",""))</f>
        <v>1</v>
      </c>
      <c r="F4">
        <f t="shared" ref="F4:F24" si="1">FIND(" ",B4)</f>
        <v>6</v>
      </c>
      <c r="G4">
        <f t="shared" ref="G4:G9" si="2">IF(E4=1,F4,FIND(" ",B4,F4+4))-1</f>
        <v>5</v>
      </c>
      <c r="H4" t="str">
        <f t="shared" ref="H4:H24" si="3">LEFT(B4,IF(E4=1,F4,FIND(" ",B4,F4+4))-1)</f>
        <v>Rossi</v>
      </c>
      <c r="I4" t="str">
        <f t="shared" ref="I4:I24" si="4">RIGHT(B4,LEN(B4)-G4-1)</f>
        <v>6/6</v>
      </c>
      <c r="J4">
        <f>IF(ISERROR(FIND("/",I4)),LEN(I4)+1,FIND("/",I4))</f>
        <v>2</v>
      </c>
      <c r="N4" t="str">
        <f>IF(ISERROR(H4),"",H4)</f>
        <v>Rossi</v>
      </c>
      <c r="O4" t="str">
        <f>IF(ISERROR(H4),"",$N$3)</f>
        <v>B10</v>
      </c>
      <c r="P4" t="str">
        <f>IF(ISERROR(H4),"",LEFT(I4,J4-1))</f>
        <v>6</v>
      </c>
      <c r="Q4" t="str">
        <f>_xlfn.TEXTJOIN(",",TRUE,N4:P4)</f>
        <v>Rossi,B10,6</v>
      </c>
      <c r="S4" t="str">
        <f>IF(ISERROR(H4),"",H4)</f>
        <v>Rossi</v>
      </c>
      <c r="T4" t="str">
        <f>IF(ISERROR(H4),"",$S$3)</f>
        <v>Simões</v>
      </c>
      <c r="U4" t="str">
        <f>IF(ISERROR(H4),"",RIGHT(I4,LEN(I4)-J4))</f>
        <v>6</v>
      </c>
      <c r="V4" t="str">
        <f>_xlfn.TEXTJOIN(",",TRUE,S4:U4)</f>
        <v>Rossi,Simões,6</v>
      </c>
      <c r="Z4" t="s">
        <v>0</v>
      </c>
      <c r="AA4" t="str">
        <f>_xlfn.TEXTJOIN("
",TRUE,Q4:Q24)</f>
        <v>Rossi,B10,6
Varela,B10,8
David Luiz,B10,6.5
Léo Pereira,B10,7
Ayrton Lucas,B10,7.5
Igor Jesus,B10,8.5
De La Cruz,B10,8
De Arrascaeta,B10,8.5
Luiz Araujo,B10,8
Cebolinha,B10,7
Pedro,B10,5</v>
      </c>
    </row>
    <row r="5" spans="2:27" x14ac:dyDescent="0.35">
      <c r="B5" s="1" t="s">
        <v>8</v>
      </c>
      <c r="E5" s="1">
        <f t="shared" si="0"/>
        <v>1</v>
      </c>
      <c r="F5">
        <f t="shared" si="1"/>
        <v>7</v>
      </c>
      <c r="G5">
        <f t="shared" si="2"/>
        <v>6</v>
      </c>
      <c r="H5" t="str">
        <f t="shared" si="3"/>
        <v>Varela</v>
      </c>
      <c r="I5" t="str">
        <f t="shared" si="4"/>
        <v>8/7.5</v>
      </c>
      <c r="J5">
        <f t="shared" ref="J5:J24" si="5">IF(ISERROR(FIND("/",I5)),LEN(I5)+1,FIND("/",I5))</f>
        <v>2</v>
      </c>
      <c r="N5" t="str">
        <f t="shared" ref="N5:N24" si="6">IF(ISERROR(H5),"",H5)</f>
        <v>Varela</v>
      </c>
      <c r="O5" t="str">
        <f t="shared" ref="O5:O24" si="7">IF(ISERROR(H5),"",$N$3)</f>
        <v>B10</v>
      </c>
      <c r="P5" t="str">
        <f t="shared" ref="P5:P24" si="8">IF(ISERROR(H5),"",LEFT(I5,J5-1))</f>
        <v>8</v>
      </c>
      <c r="Q5" t="str">
        <f t="shared" ref="Q5:Q24" si="9">_xlfn.TEXTJOIN(",",TRUE,N5:P5)</f>
        <v>Varela,B10,8</v>
      </c>
      <c r="S5" t="str">
        <f t="shared" ref="S5:S24" si="10">IF(ISERROR(H5),"",H5)</f>
        <v>Varela</v>
      </c>
      <c r="T5" t="str">
        <f t="shared" ref="T5:T24" si="11">IF(ISERROR(H5),"",$S$3)</f>
        <v>Simões</v>
      </c>
      <c r="U5" t="str">
        <f t="shared" ref="U5:U24" si="12">IF(ISERROR(H5),"",RIGHT(I5,LEN(I5)-J5))</f>
        <v>7.5</v>
      </c>
      <c r="V5" t="str">
        <f t="shared" ref="V5:V24" si="13">_xlfn.TEXTJOIN(",",TRUE,S5:U5)</f>
        <v>Varela,Simões,7.5</v>
      </c>
      <c r="Z5" t="s">
        <v>1</v>
      </c>
      <c r="AA5" t="str">
        <f>_xlfn.TEXTJOIN("
",TRUE,V4:V24)</f>
        <v>Rossi,Simões,6
Varela,Simões,7.5
David Luiz,Simões,7
Léo Pereira,Simões,7.5
Ayrton Lucas,Simões,7.5
Igor Jesus,Simões,8.5
De La Cruz,Simões,8
De Arrascaeta,Simões,8.5
Luiz Araujo,Simões,8
Cebolinha,Simões,7.5
Pedro,Simões,5.5</v>
      </c>
    </row>
    <row r="6" spans="2:27" x14ac:dyDescent="0.35">
      <c r="B6" s="1" t="s">
        <v>9</v>
      </c>
      <c r="E6" s="1">
        <f t="shared" si="0"/>
        <v>2</v>
      </c>
      <c r="F6">
        <f t="shared" si="1"/>
        <v>6</v>
      </c>
      <c r="G6">
        <f t="shared" si="2"/>
        <v>10</v>
      </c>
      <c r="H6" t="str">
        <f t="shared" si="3"/>
        <v>David Luiz</v>
      </c>
      <c r="I6" t="str">
        <f t="shared" si="4"/>
        <v>6.5/7</v>
      </c>
      <c r="J6">
        <f t="shared" si="5"/>
        <v>4</v>
      </c>
      <c r="N6" t="str">
        <f t="shared" si="6"/>
        <v>David Luiz</v>
      </c>
      <c r="O6" t="str">
        <f t="shared" si="7"/>
        <v>B10</v>
      </c>
      <c r="P6" t="str">
        <f t="shared" si="8"/>
        <v>6.5</v>
      </c>
      <c r="Q6" t="str">
        <f t="shared" si="9"/>
        <v>David Luiz,B10,6.5</v>
      </c>
      <c r="S6" t="str">
        <f t="shared" si="10"/>
        <v>David Luiz</v>
      </c>
      <c r="T6" t="str">
        <f t="shared" si="11"/>
        <v>Simões</v>
      </c>
      <c r="U6" t="str">
        <f t="shared" si="12"/>
        <v>7</v>
      </c>
      <c r="V6" t="str">
        <f t="shared" si="13"/>
        <v>David Luiz,Simões,7</v>
      </c>
    </row>
    <row r="7" spans="2:27" x14ac:dyDescent="0.35">
      <c r="B7" s="1" t="s">
        <v>10</v>
      </c>
      <c r="E7" s="1">
        <f t="shared" si="0"/>
        <v>2</v>
      </c>
      <c r="F7">
        <f t="shared" si="1"/>
        <v>4</v>
      </c>
      <c r="G7">
        <f t="shared" si="2"/>
        <v>11</v>
      </c>
      <c r="H7" t="str">
        <f t="shared" si="3"/>
        <v>Léo Pereira</v>
      </c>
      <c r="I7" t="str">
        <f t="shared" si="4"/>
        <v>7/7.5</v>
      </c>
      <c r="J7">
        <f t="shared" si="5"/>
        <v>2</v>
      </c>
      <c r="N7" t="str">
        <f t="shared" si="6"/>
        <v>Léo Pereira</v>
      </c>
      <c r="O7" t="str">
        <f t="shared" si="7"/>
        <v>B10</v>
      </c>
      <c r="P7" t="str">
        <f t="shared" si="8"/>
        <v>7</v>
      </c>
      <c r="Q7" t="str">
        <f t="shared" si="9"/>
        <v>Léo Pereira,B10,7</v>
      </c>
      <c r="S7" t="str">
        <f t="shared" si="10"/>
        <v>Léo Pereira</v>
      </c>
      <c r="T7" t="str">
        <f t="shared" si="11"/>
        <v>Simões</v>
      </c>
      <c r="U7" t="str">
        <f t="shared" si="12"/>
        <v>7.5</v>
      </c>
      <c r="V7" t="str">
        <f t="shared" si="13"/>
        <v>Léo Pereira,Simões,7.5</v>
      </c>
      <c r="Z7" t="s">
        <v>2</v>
      </c>
      <c r="AA7" t="str">
        <f>_xlfn.TEXTJOIN("
",TRUE,AA4:AA5)</f>
        <v>Rossi,B10,6
Varela,B10,8
David Luiz,B10,6.5
Léo Pereira,B10,7
Ayrton Lucas,B10,7.5
Igor Jesus,B10,8.5
De La Cruz,B10,8
De Arrascaeta,B10,8.5
Luiz Araujo,B10,8
Cebolinha,B10,7
Pedro,B10,5
Rossi,Simões,6
Varela,Simões,7.5
David Luiz,Simões,7
Léo Pereira,Simões,7.5
Ayrton Lucas,Simões,7.5
Igor Jesus,Simões,8.5
De La Cruz,Simões,8
De Arrascaeta,Simões,8.5
Luiz Araujo,Simões,8
Cebolinha,Simões,7.5
Pedro,Simões,5.5</v>
      </c>
    </row>
    <row r="8" spans="2:27" x14ac:dyDescent="0.35">
      <c r="B8" s="1" t="s">
        <v>3</v>
      </c>
      <c r="E8" s="1">
        <f t="shared" si="0"/>
        <v>2</v>
      </c>
      <c r="F8">
        <f t="shared" si="1"/>
        <v>7</v>
      </c>
      <c r="G8">
        <f t="shared" si="2"/>
        <v>12</v>
      </c>
      <c r="H8" t="str">
        <f t="shared" si="3"/>
        <v>Ayrton Lucas</v>
      </c>
      <c r="I8" t="str">
        <f t="shared" si="4"/>
        <v>7.5/7.5</v>
      </c>
      <c r="J8">
        <f t="shared" si="5"/>
        <v>4</v>
      </c>
      <c r="N8" t="str">
        <f t="shared" si="6"/>
        <v>Ayrton Lucas</v>
      </c>
      <c r="O8" t="str">
        <f t="shared" si="7"/>
        <v>B10</v>
      </c>
      <c r="P8" t="str">
        <f t="shared" si="8"/>
        <v>7.5</v>
      </c>
      <c r="Q8" t="str">
        <f t="shared" si="9"/>
        <v>Ayrton Lucas,B10,7.5</v>
      </c>
      <c r="S8" t="str">
        <f t="shared" si="10"/>
        <v>Ayrton Lucas</v>
      </c>
      <c r="T8" t="str">
        <f t="shared" si="11"/>
        <v>Simões</v>
      </c>
      <c r="U8" t="str">
        <f t="shared" si="12"/>
        <v>7.5</v>
      </c>
      <c r="V8" t="str">
        <f t="shared" si="13"/>
        <v>Ayrton Lucas,Simões,7.5</v>
      </c>
    </row>
    <row r="9" spans="2:27" x14ac:dyDescent="0.35">
      <c r="B9" s="1" t="s">
        <v>11</v>
      </c>
      <c r="E9" s="1">
        <f t="shared" si="0"/>
        <v>2</v>
      </c>
      <c r="F9">
        <f t="shared" si="1"/>
        <v>5</v>
      </c>
      <c r="G9">
        <f t="shared" si="2"/>
        <v>10</v>
      </c>
      <c r="H9" t="str">
        <f t="shared" si="3"/>
        <v>Igor Jesus</v>
      </c>
      <c r="I9" t="str">
        <f t="shared" si="4"/>
        <v>8.5/8.5</v>
      </c>
      <c r="J9">
        <f t="shared" si="5"/>
        <v>4</v>
      </c>
      <c r="N9" t="str">
        <f t="shared" si="6"/>
        <v>Igor Jesus</v>
      </c>
      <c r="O9" t="str">
        <f t="shared" si="7"/>
        <v>B10</v>
      </c>
      <c r="P9" t="str">
        <f t="shared" si="8"/>
        <v>8.5</v>
      </c>
      <c r="Q9" t="str">
        <f t="shared" si="9"/>
        <v>Igor Jesus,B10,8.5</v>
      </c>
      <c r="S9" t="str">
        <f t="shared" si="10"/>
        <v>Igor Jesus</v>
      </c>
      <c r="T9" t="str">
        <f t="shared" si="11"/>
        <v>Simões</v>
      </c>
      <c r="U9" t="str">
        <f t="shared" si="12"/>
        <v>8.5</v>
      </c>
      <c r="V9" t="str">
        <f t="shared" si="13"/>
        <v>Igor Jesus,Simões,8.5</v>
      </c>
    </row>
    <row r="10" spans="2:27" x14ac:dyDescent="0.35">
      <c r="B10" s="1" t="s">
        <v>12</v>
      </c>
      <c r="E10" s="1">
        <f t="shared" si="0"/>
        <v>3</v>
      </c>
      <c r="F10">
        <f t="shared" si="1"/>
        <v>3</v>
      </c>
      <c r="G10">
        <f>IF(E10=1,F10,FIND(" ",B10,F10+4))-1</f>
        <v>10</v>
      </c>
      <c r="H10" t="str">
        <f>LEFT(B10,IF(E10=1,F10,FIND(" ",B10,F10+4))-1)</f>
        <v>De La Cruz</v>
      </c>
      <c r="I10" t="str">
        <f t="shared" si="4"/>
        <v>8/8</v>
      </c>
      <c r="J10">
        <f t="shared" si="5"/>
        <v>2</v>
      </c>
      <c r="N10" t="str">
        <f t="shared" si="6"/>
        <v>De La Cruz</v>
      </c>
      <c r="O10" t="str">
        <f t="shared" si="7"/>
        <v>B10</v>
      </c>
      <c r="P10" t="str">
        <f t="shared" si="8"/>
        <v>8</v>
      </c>
      <c r="Q10" t="str">
        <f t="shared" si="9"/>
        <v>De La Cruz,B10,8</v>
      </c>
      <c r="S10" t="str">
        <f t="shared" si="10"/>
        <v>De La Cruz</v>
      </c>
      <c r="T10" t="str">
        <f t="shared" si="11"/>
        <v>Simões</v>
      </c>
      <c r="U10" t="str">
        <f t="shared" si="12"/>
        <v>8</v>
      </c>
      <c r="V10" t="str">
        <f t="shared" si="13"/>
        <v>De La Cruz,Simões,8</v>
      </c>
    </row>
    <row r="11" spans="2:27" x14ac:dyDescent="0.35">
      <c r="B11" s="1" t="s">
        <v>13</v>
      </c>
      <c r="E11" s="1">
        <f t="shared" si="0"/>
        <v>2</v>
      </c>
      <c r="F11">
        <f t="shared" si="1"/>
        <v>3</v>
      </c>
      <c r="G11">
        <f t="shared" ref="G11:G24" si="14">IF(E11=1,F11,FIND(" ",B11,F11+4))-1</f>
        <v>13</v>
      </c>
      <c r="H11" t="str">
        <f t="shared" si="3"/>
        <v>De Arrascaeta</v>
      </c>
      <c r="I11" t="str">
        <f t="shared" si="4"/>
        <v>8.5/8.5</v>
      </c>
      <c r="J11">
        <f t="shared" si="5"/>
        <v>4</v>
      </c>
      <c r="N11" t="str">
        <f t="shared" si="6"/>
        <v>De Arrascaeta</v>
      </c>
      <c r="O11" t="str">
        <f t="shared" si="7"/>
        <v>B10</v>
      </c>
      <c r="P11" t="str">
        <f t="shared" si="8"/>
        <v>8.5</v>
      </c>
      <c r="Q11" t="str">
        <f t="shared" si="9"/>
        <v>De Arrascaeta,B10,8.5</v>
      </c>
      <c r="S11" t="str">
        <f t="shared" si="10"/>
        <v>De Arrascaeta</v>
      </c>
      <c r="T11" t="str">
        <f t="shared" si="11"/>
        <v>Simões</v>
      </c>
      <c r="U11" t="str">
        <f t="shared" si="12"/>
        <v>8.5</v>
      </c>
      <c r="V11" t="str">
        <f t="shared" si="13"/>
        <v>De Arrascaeta,Simões,8.5</v>
      </c>
    </row>
    <row r="12" spans="2:27" x14ac:dyDescent="0.35">
      <c r="B12" t="s">
        <v>14</v>
      </c>
      <c r="E12" s="1">
        <f t="shared" si="0"/>
        <v>2</v>
      </c>
      <c r="F12">
        <f t="shared" si="1"/>
        <v>5</v>
      </c>
      <c r="G12">
        <f t="shared" si="14"/>
        <v>11</v>
      </c>
      <c r="H12" t="str">
        <f t="shared" si="3"/>
        <v>Luiz Araujo</v>
      </c>
      <c r="I12" t="str">
        <f t="shared" si="4"/>
        <v>8/8</v>
      </c>
      <c r="J12">
        <f t="shared" si="5"/>
        <v>2</v>
      </c>
      <c r="N12" t="str">
        <f t="shared" si="6"/>
        <v>Luiz Araujo</v>
      </c>
      <c r="O12" t="str">
        <f t="shared" si="7"/>
        <v>B10</v>
      </c>
      <c r="P12" t="str">
        <f t="shared" si="8"/>
        <v>8</v>
      </c>
      <c r="Q12" t="str">
        <f t="shared" si="9"/>
        <v>Luiz Araujo,B10,8</v>
      </c>
      <c r="S12" t="str">
        <f t="shared" si="10"/>
        <v>Luiz Araujo</v>
      </c>
      <c r="T12" t="str">
        <f t="shared" si="11"/>
        <v>Simões</v>
      </c>
      <c r="U12" t="str">
        <f t="shared" si="12"/>
        <v>8</v>
      </c>
      <c r="V12" t="str">
        <f t="shared" si="13"/>
        <v>Luiz Araujo,Simões,8</v>
      </c>
    </row>
    <row r="13" spans="2:27" x14ac:dyDescent="0.35">
      <c r="B13" t="s">
        <v>15</v>
      </c>
      <c r="E13" s="1">
        <f t="shared" si="0"/>
        <v>1</v>
      </c>
      <c r="F13">
        <f t="shared" si="1"/>
        <v>10</v>
      </c>
      <c r="G13">
        <f t="shared" si="14"/>
        <v>9</v>
      </c>
      <c r="H13" t="str">
        <f t="shared" si="3"/>
        <v>Cebolinha</v>
      </c>
      <c r="I13" t="str">
        <f t="shared" si="4"/>
        <v>7/7.5</v>
      </c>
      <c r="J13">
        <f t="shared" si="5"/>
        <v>2</v>
      </c>
      <c r="N13" t="str">
        <f t="shared" si="6"/>
        <v>Cebolinha</v>
      </c>
      <c r="O13" t="str">
        <f t="shared" si="7"/>
        <v>B10</v>
      </c>
      <c r="P13" t="str">
        <f t="shared" si="8"/>
        <v>7</v>
      </c>
      <c r="Q13" t="str">
        <f t="shared" si="9"/>
        <v>Cebolinha,B10,7</v>
      </c>
      <c r="S13" t="str">
        <f t="shared" si="10"/>
        <v>Cebolinha</v>
      </c>
      <c r="T13" t="str">
        <f t="shared" si="11"/>
        <v>Simões</v>
      </c>
      <c r="U13" t="str">
        <f t="shared" si="12"/>
        <v>7.5</v>
      </c>
      <c r="V13" t="str">
        <f t="shared" si="13"/>
        <v>Cebolinha,Simões,7.5</v>
      </c>
    </row>
    <row r="14" spans="2:27" x14ac:dyDescent="0.35">
      <c r="B14" t="s">
        <v>16</v>
      </c>
      <c r="E14" s="1">
        <f t="shared" si="0"/>
        <v>1</v>
      </c>
      <c r="F14">
        <f t="shared" si="1"/>
        <v>6</v>
      </c>
      <c r="G14">
        <f t="shared" si="14"/>
        <v>5</v>
      </c>
      <c r="H14" t="str">
        <f t="shared" si="3"/>
        <v>Pedro</v>
      </c>
      <c r="I14" t="str">
        <f t="shared" si="4"/>
        <v>5/5.5</v>
      </c>
      <c r="J14">
        <f t="shared" si="5"/>
        <v>2</v>
      </c>
      <c r="N14" t="str">
        <f t="shared" si="6"/>
        <v>Pedro</v>
      </c>
      <c r="O14" t="str">
        <f t="shared" si="7"/>
        <v>B10</v>
      </c>
      <c r="P14" t="str">
        <f t="shared" si="8"/>
        <v>5</v>
      </c>
      <c r="Q14" t="str">
        <f t="shared" si="9"/>
        <v>Pedro,B10,5</v>
      </c>
      <c r="S14" t="str">
        <f t="shared" si="10"/>
        <v>Pedro</v>
      </c>
      <c r="T14" t="str">
        <f t="shared" si="11"/>
        <v>Simões</v>
      </c>
      <c r="U14" t="str">
        <f t="shared" si="12"/>
        <v>5.5</v>
      </c>
      <c r="V14" t="str">
        <f t="shared" si="13"/>
        <v>Pedro,Simões,5.5</v>
      </c>
    </row>
    <row r="15" spans="2:27" x14ac:dyDescent="0.35">
      <c r="E15" s="1">
        <f t="shared" si="0"/>
        <v>0</v>
      </c>
      <c r="F15" t="e">
        <f t="shared" si="1"/>
        <v>#VALUE!</v>
      </c>
      <c r="G15" t="e">
        <f t="shared" si="14"/>
        <v>#VALUE!</v>
      </c>
      <c r="H15" t="e">
        <f t="shared" si="3"/>
        <v>#VALUE!</v>
      </c>
      <c r="I15" t="e">
        <f t="shared" si="4"/>
        <v>#VALUE!</v>
      </c>
      <c r="J15" t="e">
        <f t="shared" si="5"/>
        <v>#VALUE!</v>
      </c>
      <c r="N15" t="str">
        <f t="shared" si="6"/>
        <v/>
      </c>
      <c r="O15" t="str">
        <f t="shared" si="7"/>
        <v/>
      </c>
      <c r="P15" t="str">
        <f t="shared" si="8"/>
        <v/>
      </c>
      <c r="Q15" t="str">
        <f t="shared" si="9"/>
        <v/>
      </c>
      <c r="S15" t="str">
        <f t="shared" si="10"/>
        <v/>
      </c>
      <c r="T15" t="str">
        <f t="shared" si="11"/>
        <v/>
      </c>
      <c r="U15" t="str">
        <f t="shared" si="12"/>
        <v/>
      </c>
      <c r="V15" t="str">
        <f t="shared" si="13"/>
        <v/>
      </c>
    </row>
    <row r="16" spans="2:27" x14ac:dyDescent="0.35">
      <c r="E16" s="1">
        <f t="shared" si="0"/>
        <v>0</v>
      </c>
      <c r="F16" t="e">
        <f t="shared" si="1"/>
        <v>#VALUE!</v>
      </c>
      <c r="G16" t="e">
        <f t="shared" si="14"/>
        <v>#VALUE!</v>
      </c>
      <c r="H16" t="e">
        <f t="shared" si="3"/>
        <v>#VALUE!</v>
      </c>
      <c r="I16" t="e">
        <f t="shared" si="4"/>
        <v>#VALUE!</v>
      </c>
      <c r="J16" t="e">
        <f t="shared" si="5"/>
        <v>#VALUE!</v>
      </c>
      <c r="N16" t="str">
        <f t="shared" si="6"/>
        <v/>
      </c>
      <c r="O16" t="str">
        <f t="shared" si="7"/>
        <v/>
      </c>
      <c r="P16" t="str">
        <f t="shared" si="8"/>
        <v/>
      </c>
      <c r="Q16" t="str">
        <f t="shared" si="9"/>
        <v/>
      </c>
      <c r="S16" t="str">
        <f t="shared" si="10"/>
        <v/>
      </c>
      <c r="T16" t="str">
        <f t="shared" si="11"/>
        <v/>
      </c>
      <c r="U16" t="str">
        <f t="shared" si="12"/>
        <v/>
      </c>
      <c r="V16" t="str">
        <f t="shared" si="13"/>
        <v/>
      </c>
    </row>
    <row r="17" spans="5:22" x14ac:dyDescent="0.35">
      <c r="E17" s="1">
        <f t="shared" si="0"/>
        <v>0</v>
      </c>
      <c r="F17" t="e">
        <f t="shared" si="1"/>
        <v>#VALUE!</v>
      </c>
      <c r="G17" t="e">
        <f t="shared" si="14"/>
        <v>#VALUE!</v>
      </c>
      <c r="H17" t="e">
        <f t="shared" si="3"/>
        <v>#VALUE!</v>
      </c>
      <c r="I17" t="e">
        <f t="shared" si="4"/>
        <v>#VALUE!</v>
      </c>
      <c r="J17" t="e">
        <f t="shared" si="5"/>
        <v>#VALUE!</v>
      </c>
      <c r="N17" t="str">
        <f t="shared" si="6"/>
        <v/>
      </c>
      <c r="O17" t="str">
        <f t="shared" si="7"/>
        <v/>
      </c>
      <c r="P17" t="str">
        <f t="shared" si="8"/>
        <v/>
      </c>
      <c r="Q17" t="str">
        <f t="shared" si="9"/>
        <v/>
      </c>
      <c r="S17" t="str">
        <f t="shared" si="10"/>
        <v/>
      </c>
      <c r="T17" t="str">
        <f t="shared" si="11"/>
        <v/>
      </c>
      <c r="U17" t="str">
        <f t="shared" si="12"/>
        <v/>
      </c>
      <c r="V17" t="str">
        <f t="shared" si="13"/>
        <v/>
      </c>
    </row>
    <row r="18" spans="5:22" x14ac:dyDescent="0.35">
      <c r="E18" s="1">
        <f t="shared" si="0"/>
        <v>0</v>
      </c>
      <c r="F18" t="e">
        <f t="shared" si="1"/>
        <v>#VALUE!</v>
      </c>
      <c r="G18" t="e">
        <f t="shared" si="14"/>
        <v>#VALUE!</v>
      </c>
      <c r="H18" t="e">
        <f t="shared" si="3"/>
        <v>#VALUE!</v>
      </c>
      <c r="I18" t="e">
        <f t="shared" si="4"/>
        <v>#VALUE!</v>
      </c>
      <c r="J18" t="e">
        <f t="shared" si="5"/>
        <v>#VALUE!</v>
      </c>
      <c r="N18" t="str">
        <f t="shared" si="6"/>
        <v/>
      </c>
      <c r="O18" t="str">
        <f t="shared" si="7"/>
        <v/>
      </c>
      <c r="P18" t="str">
        <f t="shared" si="8"/>
        <v/>
      </c>
      <c r="Q18" t="str">
        <f t="shared" si="9"/>
        <v/>
      </c>
      <c r="S18" t="str">
        <f t="shared" si="10"/>
        <v/>
      </c>
      <c r="T18" t="str">
        <f t="shared" si="11"/>
        <v/>
      </c>
      <c r="U18" t="str">
        <f t="shared" si="12"/>
        <v/>
      </c>
      <c r="V18" t="str">
        <f t="shared" si="13"/>
        <v/>
      </c>
    </row>
    <row r="19" spans="5:22" x14ac:dyDescent="0.35">
      <c r="E19" s="1">
        <f t="shared" si="0"/>
        <v>0</v>
      </c>
      <c r="F19" t="e">
        <f t="shared" si="1"/>
        <v>#VALUE!</v>
      </c>
      <c r="G19" t="e">
        <f t="shared" si="14"/>
        <v>#VALUE!</v>
      </c>
      <c r="H19" t="e">
        <f t="shared" si="3"/>
        <v>#VALUE!</v>
      </c>
      <c r="I19" t="e">
        <f t="shared" si="4"/>
        <v>#VALUE!</v>
      </c>
      <c r="J19" t="e">
        <f t="shared" si="5"/>
        <v>#VALUE!</v>
      </c>
      <c r="N19" t="str">
        <f t="shared" si="6"/>
        <v/>
      </c>
      <c r="O19" t="str">
        <f t="shared" si="7"/>
        <v/>
      </c>
      <c r="P19" t="str">
        <f t="shared" si="8"/>
        <v/>
      </c>
      <c r="Q19" t="str">
        <f t="shared" si="9"/>
        <v/>
      </c>
      <c r="S19" t="str">
        <f t="shared" si="10"/>
        <v/>
      </c>
      <c r="T19" t="str">
        <f t="shared" si="11"/>
        <v/>
      </c>
      <c r="U19" t="str">
        <f t="shared" si="12"/>
        <v/>
      </c>
      <c r="V19" t="str">
        <f t="shared" si="13"/>
        <v/>
      </c>
    </row>
    <row r="20" spans="5:22" x14ac:dyDescent="0.35">
      <c r="E20" s="1">
        <f t="shared" si="0"/>
        <v>0</v>
      </c>
      <c r="F20" t="e">
        <f t="shared" si="1"/>
        <v>#VALUE!</v>
      </c>
      <c r="G20" t="e">
        <f t="shared" si="14"/>
        <v>#VALUE!</v>
      </c>
      <c r="H20" t="e">
        <f t="shared" si="3"/>
        <v>#VALUE!</v>
      </c>
      <c r="I20" t="e">
        <f t="shared" si="4"/>
        <v>#VALUE!</v>
      </c>
      <c r="J20" t="e">
        <f t="shared" si="5"/>
        <v>#VALUE!</v>
      </c>
      <c r="N20" t="str">
        <f t="shared" si="6"/>
        <v/>
      </c>
      <c r="O20" t="str">
        <f t="shared" si="7"/>
        <v/>
      </c>
      <c r="P20" t="str">
        <f t="shared" si="8"/>
        <v/>
      </c>
      <c r="Q20" t="str">
        <f t="shared" si="9"/>
        <v/>
      </c>
      <c r="S20" t="str">
        <f t="shared" si="10"/>
        <v/>
      </c>
      <c r="T20" t="str">
        <f t="shared" si="11"/>
        <v/>
      </c>
      <c r="U20" t="str">
        <f t="shared" si="12"/>
        <v/>
      </c>
      <c r="V20" t="str">
        <f t="shared" si="13"/>
        <v/>
      </c>
    </row>
    <row r="21" spans="5:22" x14ac:dyDescent="0.35">
      <c r="E21" s="1">
        <f t="shared" si="0"/>
        <v>0</v>
      </c>
      <c r="F21" t="e">
        <f t="shared" si="1"/>
        <v>#VALUE!</v>
      </c>
      <c r="G21" t="e">
        <f t="shared" si="14"/>
        <v>#VALUE!</v>
      </c>
      <c r="H21" t="e">
        <f t="shared" si="3"/>
        <v>#VALUE!</v>
      </c>
      <c r="I21" t="e">
        <f t="shared" si="4"/>
        <v>#VALUE!</v>
      </c>
      <c r="J21" t="e">
        <f t="shared" si="5"/>
        <v>#VALUE!</v>
      </c>
      <c r="N21" t="str">
        <f t="shared" si="6"/>
        <v/>
      </c>
      <c r="O21" t="str">
        <f t="shared" si="7"/>
        <v/>
      </c>
      <c r="P21" t="str">
        <f t="shared" si="8"/>
        <v/>
      </c>
      <c r="Q21" t="str">
        <f t="shared" si="9"/>
        <v/>
      </c>
      <c r="S21" t="str">
        <f t="shared" si="10"/>
        <v/>
      </c>
      <c r="T21" t="str">
        <f t="shared" si="11"/>
        <v/>
      </c>
      <c r="U21" t="str">
        <f t="shared" si="12"/>
        <v/>
      </c>
      <c r="V21" t="str">
        <f t="shared" si="13"/>
        <v/>
      </c>
    </row>
    <row r="22" spans="5:22" x14ac:dyDescent="0.35">
      <c r="E22" s="1">
        <f t="shared" si="0"/>
        <v>0</v>
      </c>
      <c r="F22" t="e">
        <f t="shared" si="1"/>
        <v>#VALUE!</v>
      </c>
      <c r="G22" t="e">
        <f t="shared" si="14"/>
        <v>#VALUE!</v>
      </c>
      <c r="H22" t="e">
        <f t="shared" si="3"/>
        <v>#VALUE!</v>
      </c>
      <c r="I22" t="e">
        <f t="shared" si="4"/>
        <v>#VALUE!</v>
      </c>
      <c r="J22" t="e">
        <f t="shared" si="5"/>
        <v>#VALUE!</v>
      </c>
      <c r="N22" t="str">
        <f t="shared" si="6"/>
        <v/>
      </c>
      <c r="O22" t="str">
        <f t="shared" si="7"/>
        <v/>
      </c>
      <c r="P22" t="str">
        <f t="shared" si="8"/>
        <v/>
      </c>
      <c r="Q22" t="str">
        <f t="shared" si="9"/>
        <v/>
      </c>
      <c r="S22" t="str">
        <f t="shared" si="10"/>
        <v/>
      </c>
      <c r="T22" t="str">
        <f t="shared" si="11"/>
        <v/>
      </c>
      <c r="U22" t="str">
        <f t="shared" si="12"/>
        <v/>
      </c>
      <c r="V22" t="str">
        <f t="shared" si="13"/>
        <v/>
      </c>
    </row>
    <row r="23" spans="5:22" x14ac:dyDescent="0.35">
      <c r="E23" s="1">
        <f t="shared" si="0"/>
        <v>0</v>
      </c>
      <c r="F23" t="e">
        <f t="shared" si="1"/>
        <v>#VALUE!</v>
      </c>
      <c r="G23" t="e">
        <f t="shared" si="14"/>
        <v>#VALUE!</v>
      </c>
      <c r="H23" t="e">
        <f t="shared" si="3"/>
        <v>#VALUE!</v>
      </c>
      <c r="I23" t="e">
        <f t="shared" si="4"/>
        <v>#VALUE!</v>
      </c>
      <c r="J23" t="e">
        <f t="shared" si="5"/>
        <v>#VALUE!</v>
      </c>
      <c r="N23" t="str">
        <f t="shared" si="6"/>
        <v/>
      </c>
      <c r="O23" t="str">
        <f t="shared" si="7"/>
        <v/>
      </c>
      <c r="P23" t="str">
        <f t="shared" si="8"/>
        <v/>
      </c>
      <c r="Q23" t="str">
        <f t="shared" si="9"/>
        <v/>
      </c>
      <c r="S23" t="str">
        <f t="shared" si="10"/>
        <v/>
      </c>
      <c r="T23" t="str">
        <f t="shared" si="11"/>
        <v/>
      </c>
      <c r="U23" t="str">
        <f t="shared" si="12"/>
        <v/>
      </c>
      <c r="V23" t="str">
        <f t="shared" si="13"/>
        <v/>
      </c>
    </row>
    <row r="24" spans="5:22" x14ac:dyDescent="0.35">
      <c r="E24" s="1">
        <f t="shared" si="0"/>
        <v>0</v>
      </c>
      <c r="F24" t="e">
        <f t="shared" si="1"/>
        <v>#VALUE!</v>
      </c>
      <c r="G24" t="e">
        <f t="shared" si="14"/>
        <v>#VALUE!</v>
      </c>
      <c r="H24" t="e">
        <f t="shared" si="3"/>
        <v>#VALUE!</v>
      </c>
      <c r="I24" t="e">
        <f t="shared" si="4"/>
        <v>#VALUE!</v>
      </c>
      <c r="J24" t="e">
        <f t="shared" si="5"/>
        <v>#VALUE!</v>
      </c>
      <c r="N24" t="str">
        <f t="shared" si="6"/>
        <v/>
      </c>
      <c r="O24" t="str">
        <f t="shared" si="7"/>
        <v/>
      </c>
      <c r="P24" t="str">
        <f t="shared" si="8"/>
        <v/>
      </c>
      <c r="Q24" t="str">
        <f t="shared" si="9"/>
        <v/>
      </c>
      <c r="S24" t="str">
        <f t="shared" si="10"/>
        <v/>
      </c>
      <c r="T24" t="str">
        <f t="shared" si="11"/>
        <v/>
      </c>
      <c r="U24" t="str">
        <f t="shared" si="12"/>
        <v/>
      </c>
      <c r="V24" t="str">
        <f t="shared" si="13"/>
        <v/>
      </c>
    </row>
  </sheetData>
  <pageMargins left="0.7" right="0.7" top="0.75" bottom="0.75" header="0.3" footer="0.3"/>
  <pageSetup orientation="portrait" r:id="rId1"/>
  <headerFooter>
    <oddHeader>&amp;L&amp;"Calibri"&amp;10&amp;K0000FF TechnipFMC | Internal&amp;1#_x000D_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Higor Velloso</dc:creator>
  <cp:lastModifiedBy>Higor Velloso</cp:lastModifiedBy>
  <dcterms:created xsi:type="dcterms:W3CDTF">2025-01-29T00:08:48Z</dcterms:created>
  <dcterms:modified xsi:type="dcterms:W3CDTF">2025-01-31T15:29:23Z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64f6f3-ba1e-417c-b6f1-929d6caea309_Enabled">
    <vt:lpwstr>true</vt:lpwstr>
  </property>
  <property fmtid="{D5CDD505-2E9C-101B-9397-08002B2CF9AE}" pid="3" name="MSIP_Label_b064f6f3-ba1e-417c-b6f1-929d6caea309_SetDate">
    <vt:lpwstr>2025-01-30T16:13:41Z</vt:lpwstr>
  </property>
  <property fmtid="{D5CDD505-2E9C-101B-9397-08002B2CF9AE}" pid="4" name="MSIP_Label_b064f6f3-ba1e-417c-b6f1-929d6caea309_Method">
    <vt:lpwstr>Privileged</vt:lpwstr>
  </property>
  <property fmtid="{D5CDD505-2E9C-101B-9397-08002B2CF9AE}" pid="5" name="MSIP_Label_b064f6f3-ba1e-417c-b6f1-929d6caea309_Name">
    <vt:lpwstr>Internal</vt:lpwstr>
  </property>
  <property fmtid="{D5CDD505-2E9C-101B-9397-08002B2CF9AE}" pid="6" name="MSIP_Label_b064f6f3-ba1e-417c-b6f1-929d6caea309_SiteId">
    <vt:lpwstr>0804c951-93a0-405d-80e4-fa87c7551d6a</vt:lpwstr>
  </property>
  <property fmtid="{D5CDD505-2E9C-101B-9397-08002B2CF9AE}" pid="7" name="MSIP_Label_b064f6f3-ba1e-417c-b6f1-929d6caea309_ActionId">
    <vt:lpwstr>0a8d72dd-5367-45c4-8c81-8dcb7b99b524</vt:lpwstr>
  </property>
  <property fmtid="{D5CDD505-2E9C-101B-9397-08002B2CF9AE}" pid="8" name="MSIP_Label_b064f6f3-ba1e-417c-b6f1-929d6caea309_ContentBits">
    <vt:lpwstr>1</vt:lpwstr>
  </property>
</Properties>
</file>